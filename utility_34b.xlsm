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D:\users\u046320\Documents\macros\034\"/>
    </mc:Choice>
  </mc:AlternateContent>
  <xr:revisionPtr revIDLastSave="0" documentId="13_ncr:1_{283FA9C9-B9F5-4B56-B715-1684B5A0487C}" xr6:coauthVersionLast="47" xr6:coauthVersionMax="47" xr10:uidLastSave="{00000000-0000-0000-0000-000000000000}"/>
  <bookViews>
    <workbookView xWindow="-120" yWindow="-120" windowWidth="29040" windowHeight="15720" xr2:uid="{53B4DD13-A19D-43A4-BA03-7D9B05117501}"/>
  </bookViews>
  <sheets>
    <sheet name="date" sheetId="68" r:id="rId1"/>
    <sheet name="Foglio1" sheetId="64" r:id="rId2"/>
    <sheet name="Foglio3" sheetId="66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66" l="1"/>
  <c r="G21" i="68"/>
  <c r="G20" i="68"/>
  <c r="G19" i="68"/>
  <c r="B18" i="68"/>
  <c r="C16" i="68"/>
  <c r="D16" i="68" s="1"/>
  <c r="C18" i="68" s="1"/>
  <c r="A4" i="68"/>
  <c r="A5" i="68" s="1"/>
  <c r="A6" i="68" s="1"/>
  <c r="F15" i="68" s="1"/>
  <c r="G15" i="68" l="1"/>
  <c r="D18" i="68" l="1"/>
  <c r="C19" i="68" s="1"/>
  <c r="B19" i="68"/>
  <c r="D19" i="68" l="1"/>
  <c r="C20" i="68" s="1"/>
  <c r="B20" i="68"/>
  <c r="D20" i="68" l="1"/>
  <c r="C21" i="68" s="1"/>
  <c r="B21" i="68"/>
  <c r="B27" i="68" s="1"/>
  <c r="D21" i="68" l="1"/>
  <c r="C23" i="68" s="1"/>
  <c r="D23" i="68" s="1"/>
  <c r="C25" i="68" s="1"/>
</calcChain>
</file>

<file path=xl/sharedStrings.xml><?xml version="1.0" encoding="utf-8"?>
<sst xmlns="http://schemas.openxmlformats.org/spreadsheetml/2006/main" count="24" uniqueCount="24">
  <si>
    <t>Numero di settimane (marche)</t>
  </si>
  <si>
    <t>Data di riferimento delle settimane</t>
  </si>
  <si>
    <t>U</t>
  </si>
  <si>
    <t>Sesso (U per Uomo, D per Donna)</t>
  </si>
  <si>
    <t>Data raggiungimento requisiti pensione</t>
  </si>
  <si>
    <t>Data pensione con finestra mobile (3 mesi)</t>
  </si>
  <si>
    <t>Data per calcolo incentivo</t>
  </si>
  <si>
    <t>data cautelativa</t>
  </si>
  <si>
    <t>CALENDARIO</t>
  </si>
  <si>
    <t>da:</t>
  </si>
  <si>
    <t>a:</t>
  </si>
  <si>
    <r>
      <t>ecocert</t>
    </r>
    <r>
      <rPr>
        <sz val="11"/>
        <color rgb="FFFF0000"/>
        <rFont val="Calibri"/>
        <family val="2"/>
        <scheme val="minor"/>
      </rPr>
      <t xml:space="preserve"> (</t>
    </r>
    <r>
      <rPr>
        <b/>
        <sz val="11"/>
        <color rgb="FFFF0000"/>
        <rFont val="Calibri"/>
        <family val="2"/>
        <scheme val="minor"/>
      </rPr>
      <t>con finestra)</t>
    </r>
  </si>
  <si>
    <t>ultimo giorno in azienda</t>
  </si>
  <si>
    <t xml:space="preserve">        -&gt;</t>
  </si>
  <si>
    <t>preavviso pagato</t>
  </si>
  <si>
    <t>anno 1 - NASpl</t>
  </si>
  <si>
    <t>anno 2 - NASpl</t>
  </si>
  <si>
    <t>anno 3 - incentivo</t>
  </si>
  <si>
    <t>anno 4 - incentivo</t>
  </si>
  <si>
    <t>finestra uscita</t>
  </si>
  <si>
    <t>inizio pensione</t>
  </si>
  <si>
    <t>--&gt;</t>
  </si>
  <si>
    <t>TOT. mesi alla pensione</t>
  </si>
  <si>
    <t>suggerimento rispetto a data ecocert con finestra: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</si>
</sst>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6">
    <xf numFmtId="0" fontId="0" fillId="0" borderId="0" xfId="0"/>
    <xf numFmtId="0" fontId="4" fillId="2" borderId="0" xfId="0" applyFont="1" applyFill="1" applyAlignment="1">
      <alignment horizontal="right"/>
    </xf>
    <xf numFmtId="14" fontId="5" fillId="2" borderId="0" xfId="0" applyNumberFormat="1" applyFont="1" applyFill="1" applyAlignment="1">
      <alignment horizontal="right"/>
    </xf>
    <xf numFmtId="0" fontId="5" fillId="2" borderId="0" xfId="0" applyFont="1" applyFill="1" applyAlignment="1">
      <alignment horizontal="right"/>
    </xf>
    <xf numFmtId="14" fontId="5" fillId="0" borderId="0" xfId="0" applyNumberFormat="1" applyFont="1" applyAlignment="1">
      <alignment horizontal="right"/>
    </xf>
    <xf numFmtId="14" fontId="4" fillId="3" borderId="0" xfId="0" applyNumberFormat="1" applyFont="1" applyFill="1" applyAlignment="1">
      <alignment horizontal="right" vertical="center"/>
    </xf>
    <xf numFmtId="0" fontId="6" fillId="4" borderId="0" xfId="0" applyFont="1" applyFill="1"/>
    <xf numFmtId="0" fontId="0" fillId="4" borderId="0" xfId="0" applyFill="1"/>
    <xf numFmtId="0" fontId="5" fillId="0" borderId="0" xfId="0" quotePrefix="1" applyFont="1" applyAlignment="1">
      <alignment horizontal="center"/>
    </xf>
    <xf numFmtId="14" fontId="6" fillId="5" borderId="0" xfId="0" applyNumberFormat="1" applyFont="1" applyFill="1" applyAlignment="1">
      <alignment horizontal="center" vertical="center"/>
    </xf>
    <xf numFmtId="14" fontId="6" fillId="3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5" borderId="0" xfId="0" applyFont="1" applyFill="1"/>
    <xf numFmtId="14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center" wrapText="1"/>
    </xf>
  </cellXfs>
  <cellStyles count="4">
    <cellStyle name="Migliaia 2" xfId="2" xr:uid="{5F0B60D6-23D0-4B6D-8187-0D6CD6A0B82B}"/>
    <cellStyle name="Migliaia 2 2" xfId="3" xr:uid="{41E15F51-D869-43E5-91FB-0CCD7019EB57}"/>
    <cellStyle name="Normale" xfId="0" builtinId="0"/>
    <cellStyle name="Normale 2" xfId="1" xr:uid="{446FBBC3-498A-4AC3-A545-8694EF7C316A}"/>
  </cellStyles>
  <dxfs count="1"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219075</xdr:colOff>
      <xdr:row>13</xdr:row>
      <xdr:rowOff>123825</xdr:rowOff>
    </xdr:from>
    <xdr:ext cx="323849" cy="323849"/>
    <xdr:pic>
      <xdr:nvPicPr>
        <xdr:cNvPr id="2" name="Immagine 1" descr="fabbrica icona vettore simbolo design illustrazione 26219265 ...">
          <a:extLst>
            <a:ext uri="{FF2B5EF4-FFF2-40B4-BE49-F238E27FC236}">
              <a16:creationId xmlns:a16="http://schemas.microsoft.com/office/drawing/2014/main" id="{817BBD44-CF31-4178-9160-6FD794EAD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9300" y="3648075"/>
          <a:ext cx="323849" cy="3238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723900</xdr:colOff>
      <xdr:row>23</xdr:row>
      <xdr:rowOff>123824</xdr:rowOff>
    </xdr:from>
    <xdr:ext cx="391886" cy="395968"/>
    <xdr:pic>
      <xdr:nvPicPr>
        <xdr:cNvPr id="3" name="Immagine 2" descr="Pensionato arte vettoriale, icone e grafica per il download ...">
          <a:extLst>
            <a:ext uri="{FF2B5EF4-FFF2-40B4-BE49-F238E27FC236}">
              <a16:creationId xmlns:a16="http://schemas.microsoft.com/office/drawing/2014/main" id="{909628B5-99D8-4A2B-B100-BE753B41A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9450" y="5981699"/>
          <a:ext cx="391886" cy="3959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581025</xdr:colOff>
      <xdr:row>12</xdr:row>
      <xdr:rowOff>57150</xdr:rowOff>
    </xdr:from>
    <xdr:to>
      <xdr:col>6</xdr:col>
      <xdr:colOff>238125</xdr:colOff>
      <xdr:row>16</xdr:row>
      <xdr:rowOff>114300</xdr:rowOff>
    </xdr:to>
    <xdr:sp macro="" textlink="">
      <xdr:nvSpPr>
        <xdr:cNvPr id="4" name="Ovale 3">
          <a:extLst>
            <a:ext uri="{FF2B5EF4-FFF2-40B4-BE49-F238E27FC236}">
              <a16:creationId xmlns:a16="http://schemas.microsoft.com/office/drawing/2014/main" id="{AEE8095E-16B7-4105-9784-90F5049753F0}"/>
            </a:ext>
          </a:extLst>
        </xdr:cNvPr>
        <xdr:cNvSpPr/>
      </xdr:nvSpPr>
      <xdr:spPr>
        <a:xfrm>
          <a:off x="4067175" y="3343275"/>
          <a:ext cx="1381125" cy="105727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C263C-A9FA-4516-B23D-2C86251E404E}">
  <sheetPr codeName="Foglio3"/>
  <dimension ref="A1:G27"/>
  <sheetViews>
    <sheetView tabSelected="1" workbookViewId="0">
      <selection activeCell="K14" sqref="K14"/>
    </sheetView>
  </sheetViews>
  <sheetFormatPr defaultRowHeight="15" x14ac:dyDescent="0.25"/>
  <cols>
    <col min="1" max="1" width="22.85546875" bestFit="1" customWidth="1"/>
    <col min="2" max="2" width="4.140625" bestFit="1" customWidth="1"/>
    <col min="3" max="3" width="10.42578125" bestFit="1" customWidth="1"/>
    <col min="4" max="4" width="14.85546875" bestFit="1" customWidth="1"/>
    <col min="6" max="6" width="16.7109375" customWidth="1"/>
  </cols>
  <sheetData>
    <row r="1" spans="1:7" ht="26.25" x14ac:dyDescent="0.4">
      <c r="A1" s="1">
        <v>2021</v>
      </c>
      <c r="B1" t="s">
        <v>0</v>
      </c>
    </row>
    <row r="2" spans="1:7" ht="26.25" x14ac:dyDescent="0.4">
      <c r="A2" s="2">
        <v>46173</v>
      </c>
      <c r="B2" t="s">
        <v>1</v>
      </c>
    </row>
    <row r="3" spans="1:7" ht="26.25" x14ac:dyDescent="0.4">
      <c r="A3" s="3" t="s">
        <v>2</v>
      </c>
      <c r="B3" t="s">
        <v>3</v>
      </c>
    </row>
    <row r="4" spans="1:7" ht="26.25" x14ac:dyDescent="0.4">
      <c r="A4" s="4">
        <f>IF(A3="U",A2+(MAX(0,2227-A1)*7),IF(A3="D",A2+(MAX(0,2175-A1)*7),""))</f>
        <v>47615</v>
      </c>
      <c r="B4" t="s">
        <v>4</v>
      </c>
    </row>
    <row r="5" spans="1:7" ht="26.25" x14ac:dyDescent="0.4">
      <c r="A5" s="4">
        <f>IF(A4&lt;&gt;"",EDATE(A4,3),"")</f>
        <v>47707</v>
      </c>
      <c r="B5" t="s">
        <v>5</v>
      </c>
    </row>
    <row r="6" spans="1:7" ht="26.25" x14ac:dyDescent="0.25">
      <c r="A6" s="5">
        <f>IF(A5&lt;&gt;"",EOMONTH(A5,0),"")+1</f>
        <v>47727</v>
      </c>
      <c r="B6" t="s">
        <v>6</v>
      </c>
    </row>
    <row r="9" spans="1:7" ht="26.25" x14ac:dyDescent="0.4">
      <c r="A9" s="2"/>
      <c r="B9" t="s">
        <v>7</v>
      </c>
    </row>
    <row r="13" spans="1:7" ht="18.75" x14ac:dyDescent="0.3">
      <c r="A13" s="6" t="s">
        <v>8</v>
      </c>
      <c r="B13" s="7"/>
      <c r="C13" s="7"/>
      <c r="D13" s="7"/>
      <c r="E13" s="7"/>
      <c r="F13" s="7"/>
      <c r="G13" s="7"/>
    </row>
    <row r="14" spans="1:7" x14ac:dyDescent="0.25">
      <c r="C14" t="s">
        <v>9</v>
      </c>
      <c r="D14" t="s">
        <v>10</v>
      </c>
      <c r="F14" t="s">
        <v>11</v>
      </c>
    </row>
    <row r="15" spans="1:7" ht="26.25" x14ac:dyDescent="0.4">
      <c r="A15" t="s">
        <v>12</v>
      </c>
      <c r="C15" s="8" t="s">
        <v>13</v>
      </c>
      <c r="D15" s="9">
        <v>46387</v>
      </c>
      <c r="F15" s="10">
        <f>IF(A9&lt;&gt;"",A9,A6)</f>
        <v>47727</v>
      </c>
      <c r="G15" s="11" t="str">
        <f>IF((((YEAR(F15)-YEAR(C16))*12 + MONTH(F15) - MONTH(C16))-3-48-4)&gt;0,"NON IDONEO"," IDONEO")</f>
        <v xml:space="preserve"> IDONEO</v>
      </c>
    </row>
    <row r="16" spans="1:7" ht="18.75" x14ac:dyDescent="0.3">
      <c r="A16" t="s">
        <v>14</v>
      </c>
      <c r="B16" s="12">
        <v>4</v>
      </c>
      <c r="C16" s="13">
        <f>D15+1</f>
        <v>46388</v>
      </c>
      <c r="D16" s="13">
        <f>EDATE(C16,+B16)-1</f>
        <v>46507</v>
      </c>
    </row>
    <row r="18" spans="1:7" ht="18.75" x14ac:dyDescent="0.3">
      <c r="A18" t="s">
        <v>15</v>
      </c>
      <c r="B18" s="12">
        <f>IF((((YEAR(F15)-YEAR(C16))*12 + MONTH(F15) - MONTH(C16)-B16)-B23)&gt;12,12,(((YEAR(F15)-YEAR(C16))*12 + MONTH(F15) - MONTH(C16)-B16)-B23))</f>
        <v>12</v>
      </c>
      <c r="C18" s="13">
        <f>D16+1</f>
        <v>46508</v>
      </c>
      <c r="D18" s="13">
        <f>EDATE(C18,+B18)-1</f>
        <v>46873</v>
      </c>
      <c r="F18" s="15" t="s">
        <v>23</v>
      </c>
      <c r="G18" s="14"/>
    </row>
    <row r="19" spans="1:7" ht="18.75" x14ac:dyDescent="0.3">
      <c r="A19" t="s">
        <v>16</v>
      </c>
      <c r="B19" s="12">
        <f>G19</f>
        <v>12</v>
      </c>
      <c r="C19" s="13">
        <f>D18+1</f>
        <v>46874</v>
      </c>
      <c r="D19" s="13">
        <f>EDATE(C19,+B19)-1</f>
        <v>47238</v>
      </c>
      <c r="F19" s="15"/>
      <c r="G19" s="14">
        <f>IF((((((YEAR(F15)-YEAR(C16))*12 + MONTH(F15) - MONTH(C16)-B16)-B23))-B18)&gt;12,12,(((((YEAR(F15)-YEAR(C16))*12 + MONTH(F15) - MONTH(C16)-B16)-B23))-B18))</f>
        <v>12</v>
      </c>
    </row>
    <row r="20" spans="1:7" ht="18.75" x14ac:dyDescent="0.3">
      <c r="A20" t="s">
        <v>17</v>
      </c>
      <c r="B20" s="12">
        <f>G20</f>
        <v>12</v>
      </c>
      <c r="C20" s="13">
        <f>D19+1</f>
        <v>47239</v>
      </c>
      <c r="D20" s="13">
        <f>EDATE(C20,+B20)-1</f>
        <v>47603</v>
      </c>
      <c r="F20" s="15"/>
      <c r="G20" s="14">
        <f>IF((((((YEAR(F15)-YEAR(C16))*12 + MONTH(F15) - MONTH(C16)-B16)-B23))-B18-G19)&gt;12,12,(((((YEAR(F15)-YEAR(C16))*12 + MONTH(F15) - MONTH(C16)-B16)-B23))-B18-G19))</f>
        <v>12</v>
      </c>
    </row>
    <row r="21" spans="1:7" ht="18.75" x14ac:dyDescent="0.3">
      <c r="A21" t="s">
        <v>18</v>
      </c>
      <c r="B21" s="12">
        <f>G21</f>
        <v>1</v>
      </c>
      <c r="C21" s="13">
        <f>D20+1</f>
        <v>47604</v>
      </c>
      <c r="D21" s="13">
        <f>EDATE(C21,+B21)-1</f>
        <v>47634</v>
      </c>
      <c r="F21" s="15"/>
      <c r="G21" s="14">
        <f>IF((((((YEAR(F15)-YEAR(C16))*12 + MONTH(F15) - MONTH(C16)-B16)-B23))-B18-G19-G20)&gt;12,12,(((((YEAR(F15)-YEAR(C16))*12 + MONTH(F15) - MONTH(C16)-B16)-B23))-B18-G19-G20))</f>
        <v>1</v>
      </c>
    </row>
    <row r="23" spans="1:7" ht="18.75" x14ac:dyDescent="0.3">
      <c r="A23" t="s">
        <v>19</v>
      </c>
      <c r="B23" s="12">
        <v>3</v>
      </c>
      <c r="C23" s="13">
        <f>D21+1</f>
        <v>47635</v>
      </c>
      <c r="D23" s="13">
        <f>EDATE(C23,+B23)-1</f>
        <v>47726</v>
      </c>
    </row>
    <row r="24" spans="1:7" x14ac:dyDescent="0.25">
      <c r="D24" s="13"/>
    </row>
    <row r="25" spans="1:7" ht="26.25" x14ac:dyDescent="0.4">
      <c r="A25" t="s">
        <v>20</v>
      </c>
      <c r="C25" s="13">
        <f>D23+1</f>
        <v>47727</v>
      </c>
      <c r="D25" s="8" t="s">
        <v>21</v>
      </c>
    </row>
    <row r="27" spans="1:7" ht="18.75" x14ac:dyDescent="0.3">
      <c r="A27" t="s">
        <v>22</v>
      </c>
      <c r="B27" s="12">
        <f>B16+B18+B19+B20+B21+B23</f>
        <v>44</v>
      </c>
    </row>
  </sheetData>
  <mergeCells count="1">
    <mergeCell ref="F18:F21"/>
  </mergeCells>
  <conditionalFormatting sqref="C18:D21">
    <cfRule type="expression" dxfId="0" priority="1">
      <formula>$B18&lt;=0</formula>
    </cfRule>
  </conditionalFormatting>
  <dataValidations count="1">
    <dataValidation type="list" allowBlank="1" showInputMessage="1" showErrorMessage="1" errorTitle="Valore non valido" error="Inserire esclusivamente U oppure D." promptTitle="Sesso" prompt="Selezionare U per Uomo oppure D per Donna." sqref="A3" xr:uid="{EE0B9A1F-559E-45BD-89AE-1013ECC064CB}">
      <formula1>"U,D"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EFC67-C608-4832-BADA-FEA3D066B66D}">
  <sheetPr codeName="Foglio1"/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B8A60-96E2-490D-8211-D6818CE1E516}">
  <sheetPr codeName="Foglio2"/>
  <dimension ref="H22"/>
  <sheetViews>
    <sheetView workbookViewId="0">
      <selection activeCell="H23" sqref="H23"/>
    </sheetView>
  </sheetViews>
  <sheetFormatPr defaultRowHeight="15" x14ac:dyDescent="0.25"/>
  <sheetData>
    <row r="22" spans="8:8" x14ac:dyDescent="0.25">
      <c r="H22">
        <f>date!B18</f>
        <v>12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4cde0bb8-21e0-4ae3-9906-7ac25165b779}" enabled="1" method="Privileged" siteId="{d852d5cd-724c-4128-8812-ffa5db3f850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date</vt:lpstr>
      <vt:lpstr>Foglio1</vt:lpstr>
      <vt:lpstr>Foglio3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BENEVOLO</dc:creator>
  <cp:lastModifiedBy>BRUNO BENEVOLO</cp:lastModifiedBy>
  <dcterms:created xsi:type="dcterms:W3CDTF">2015-06-05T18:17:20Z</dcterms:created>
  <dcterms:modified xsi:type="dcterms:W3CDTF">2026-10-12T13:32:11Z</dcterms:modified>
</cp:coreProperties>
</file>